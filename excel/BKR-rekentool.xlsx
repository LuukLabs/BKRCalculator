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entool" sheetId="1" state="visible" r:id="rId1"/>
    <sheet name="Regels" sheetId="2" state="visible" r:id="rId2"/>
    <sheet name="Berekening" sheetId="3" state="hidden" r:id="rId3"/>
  </sheets>
  <definedNames>
    <definedName name="MinA">Regels!$A$2:$A$37</definedName>
    <definedName name="MaxA">Regels!$B$2:$B$37</definedName>
    <definedName name="MinP">Regels!$C$2:$C$37</definedName>
    <definedName name="MaxC">Regels!$D$2:$D$37</definedName>
    <definedName name="MaxC0">Regels!$E$2:$E$37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808080"/>
      <sz val="9"/>
    </font>
    <font>
      <b val="1"/>
      <color rgb="00FFFFFF"/>
    </font>
    <font>
      <b val="1"/>
      <sz val="12"/>
    </font>
    <font>
      <b val="1"/>
      <color rgb="002F5496"/>
      <sz val="12"/>
    </font>
    <font>
      <color rgb="0060606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4" fillId="4" borderId="0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BKR-rekentool — beroepskracht-kindratio</t>
        </is>
      </c>
    </row>
    <row r="2">
      <c r="A2" s="2" t="inlineStr">
        <is>
          <t>Vul het aantal kinderen per leeftijd in. Het minimum aantal beroepskrachten verschijnt onderaan.</t>
        </is>
      </c>
    </row>
    <row r="3">
      <c r="A3" s="3" t="inlineStr">
        <is>
          <t>Aantal kinderen per leeftijd</t>
        </is>
      </c>
      <c r="B3" s="4" t="n"/>
    </row>
    <row r="4">
      <c r="A4" t="inlineStr">
        <is>
          <t>0 jaar (0–1)</t>
        </is>
      </c>
      <c r="B4" s="5" t="n">
        <v>0</v>
      </c>
    </row>
    <row r="5">
      <c r="A5" t="inlineStr">
        <is>
          <t>1 jaar (1–2)</t>
        </is>
      </c>
      <c r="B5" s="5" t="n">
        <v>0</v>
      </c>
    </row>
    <row r="6">
      <c r="A6" t="inlineStr">
        <is>
          <t>2 jaar (2–3)</t>
        </is>
      </c>
      <c r="B6" s="5" t="n">
        <v>0</v>
      </c>
    </row>
    <row r="7">
      <c r="A7" t="inlineStr">
        <is>
          <t>3 jaar (3–4)</t>
        </is>
      </c>
      <c r="B7" s="5" t="n">
        <v>0</v>
      </c>
    </row>
    <row r="9">
      <c r="A9" s="6" t="inlineStr">
        <is>
          <t>Benodigde beroepskrachten:</t>
        </is>
      </c>
      <c r="B9" s="7">
        <f>IF(SUM($B$4:$B$7)=0,0,IF(Berekening!M2=0,"Ongeldige groepssamenstelling",Berekening!M2+IF(MAX(Berekening!M3:M6)&gt;Berekening!M2,1,0)))</f>
        <v/>
      </c>
    </row>
    <row r="11">
      <c r="A11" s="8" t="inlineStr"/>
    </row>
    <row r="12">
      <c r="A12" s="9" t="inlineStr">
        <is>
          <t>Toelichting</t>
        </is>
      </c>
    </row>
    <row r="13">
      <c r="A13" s="8" t="inlineStr">
        <is>
          <t>• Ratio per leeftijd: 0 jr 1:3 · 1 jr 1:5 · 2 jr 1:6 · 3 jr 1:8 (dagopvang, vanaf 1 juli 2024).</t>
        </is>
      </c>
    </row>
    <row r="14">
      <c r="A14" s="8" t="inlineStr">
        <is>
          <t>• De uitkomst houdt rekening met de maximale groepsgrootte én met de extra-kracht-regel</t>
        </is>
      </c>
    </row>
    <row r="15">
      <c r="A15" s="8" t="inlineStr">
        <is>
          <t xml:space="preserve">  (één kind minder mag nooit meer beroepskrachten vereisen).</t>
        </is>
      </c>
    </row>
    <row r="16">
      <c r="A16" s="8" t="inlineStr">
        <is>
          <t>• "Ongeldige groepssamenstelling" betekent dat geen wettelijke groepsnorm op deze</t>
        </is>
      </c>
    </row>
    <row r="17">
      <c r="A17" s="8" t="inlineStr">
        <is>
          <t xml:space="preserve">  combinatie past (bijv. te grote of niet-toegestane mengvorm).</t>
        </is>
      </c>
    </row>
    <row r="18">
      <c r="A18" s="8" t="inlineStr">
        <is>
          <t>• Berekend volgens dezelfde regels als de BKRCalculator-engine; bedoeld als hulpmiddel,</t>
        </is>
      </c>
    </row>
    <row r="19">
      <c r="A19" s="8" t="inlineStr">
        <is>
          <t xml:space="preserve">  de officiële rekentool op 1ratio.nl is bindend.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15" customWidth="1" min="5" max="5"/>
  </cols>
  <sheetData>
    <row r="1">
      <c r="A1" s="3" t="inlineStr">
        <is>
          <t>MinLeeftijd</t>
        </is>
      </c>
      <c r="B1" s="3" t="inlineStr">
        <is>
          <t>MaxLeeftijd</t>
        </is>
      </c>
      <c r="C1" s="3" t="inlineStr">
        <is>
          <t>MinBeroepskrachten</t>
        </is>
      </c>
      <c r="D1" s="3" t="inlineStr">
        <is>
          <t>MaxKinderen</t>
        </is>
      </c>
      <c r="E1" s="3" t="inlineStr">
        <is>
          <t>MaxNuljarigen</t>
        </is>
      </c>
    </row>
    <row r="2">
      <c r="A2" t="n">
        <v>0</v>
      </c>
      <c r="B2" t="n">
        <v>1</v>
      </c>
      <c r="C2" t="n">
        <v>1</v>
      </c>
      <c r="D2" t="n">
        <v>3</v>
      </c>
      <c r="E2" t="n">
        <v>999</v>
      </c>
    </row>
    <row r="3">
      <c r="A3" t="n">
        <v>0</v>
      </c>
      <c r="B3" t="n">
        <v>1</v>
      </c>
      <c r="C3" t="n">
        <v>2</v>
      </c>
      <c r="D3" t="n">
        <v>6</v>
      </c>
      <c r="E3" t="n">
        <v>999</v>
      </c>
    </row>
    <row r="4">
      <c r="A4" t="n">
        <v>0</v>
      </c>
      <c r="B4" t="n">
        <v>1</v>
      </c>
      <c r="C4" t="n">
        <v>3</v>
      </c>
      <c r="D4" t="n">
        <v>9</v>
      </c>
      <c r="E4" t="n">
        <v>999</v>
      </c>
    </row>
    <row r="5">
      <c r="A5" t="n">
        <v>0</v>
      </c>
      <c r="B5" t="n">
        <v>1</v>
      </c>
      <c r="C5" t="n">
        <v>4</v>
      </c>
      <c r="D5" t="n">
        <v>12</v>
      </c>
      <c r="E5" t="n">
        <v>999</v>
      </c>
    </row>
    <row r="6">
      <c r="A6" t="n">
        <v>1</v>
      </c>
      <c r="B6" t="n">
        <v>2</v>
      </c>
      <c r="C6" t="n">
        <v>1</v>
      </c>
      <c r="D6" t="n">
        <v>5</v>
      </c>
      <c r="E6" t="n">
        <v>999</v>
      </c>
    </row>
    <row r="7">
      <c r="A7" t="n">
        <v>1</v>
      </c>
      <c r="B7" t="n">
        <v>2</v>
      </c>
      <c r="C7" t="n">
        <v>2</v>
      </c>
      <c r="D7" t="n">
        <v>10</v>
      </c>
      <c r="E7" t="n">
        <v>999</v>
      </c>
    </row>
    <row r="8">
      <c r="A8" t="n">
        <v>1</v>
      </c>
      <c r="B8" t="n">
        <v>2</v>
      </c>
      <c r="C8" t="n">
        <v>3</v>
      </c>
      <c r="D8" t="n">
        <v>15</v>
      </c>
      <c r="E8" t="n">
        <v>999</v>
      </c>
    </row>
    <row r="9">
      <c r="A9" t="n">
        <v>1</v>
      </c>
      <c r="B9" t="n">
        <v>2</v>
      </c>
      <c r="C9" t="n">
        <v>4</v>
      </c>
      <c r="D9" t="n">
        <v>16</v>
      </c>
      <c r="E9" t="n">
        <v>999</v>
      </c>
    </row>
    <row r="10">
      <c r="A10" t="n">
        <v>2</v>
      </c>
      <c r="B10" t="n">
        <v>3</v>
      </c>
      <c r="C10" t="n">
        <v>1</v>
      </c>
      <c r="D10" t="n">
        <v>8</v>
      </c>
      <c r="E10" t="n">
        <v>999</v>
      </c>
    </row>
    <row r="11">
      <c r="A11" t="n">
        <v>2</v>
      </c>
      <c r="B11" t="n">
        <v>3</v>
      </c>
      <c r="C11" t="n">
        <v>2</v>
      </c>
      <c r="D11" t="n">
        <v>16</v>
      </c>
      <c r="E11" t="n">
        <v>999</v>
      </c>
    </row>
    <row r="12">
      <c r="A12" t="n">
        <v>3</v>
      </c>
      <c r="B12" t="n">
        <v>4</v>
      </c>
      <c r="C12" t="n">
        <v>1</v>
      </c>
      <c r="D12" t="n">
        <v>8</v>
      </c>
      <c r="E12" t="n">
        <v>999</v>
      </c>
    </row>
    <row r="13">
      <c r="A13" t="n">
        <v>3</v>
      </c>
      <c r="B13" t="n">
        <v>4</v>
      </c>
      <c r="C13" t="n">
        <v>2</v>
      </c>
      <c r="D13" t="n">
        <v>16</v>
      </c>
      <c r="E13" t="n">
        <v>999</v>
      </c>
    </row>
    <row r="14">
      <c r="A14" t="n">
        <v>0</v>
      </c>
      <c r="B14" t="n">
        <v>2</v>
      </c>
      <c r="C14" t="n">
        <v>1</v>
      </c>
      <c r="D14" t="n">
        <v>4</v>
      </c>
      <c r="E14" t="n">
        <v>999</v>
      </c>
    </row>
    <row r="15">
      <c r="A15" t="n">
        <v>0</v>
      </c>
      <c r="B15" t="n">
        <v>2</v>
      </c>
      <c r="C15" t="n">
        <v>2</v>
      </c>
      <c r="D15" t="n">
        <v>8</v>
      </c>
      <c r="E15" t="n">
        <v>999</v>
      </c>
    </row>
    <row r="16">
      <c r="A16" t="n">
        <v>0</v>
      </c>
      <c r="B16" t="n">
        <v>2</v>
      </c>
      <c r="C16" t="n">
        <v>3</v>
      </c>
      <c r="D16" t="n">
        <v>14</v>
      </c>
      <c r="E16" t="n">
        <v>8</v>
      </c>
    </row>
    <row r="17">
      <c r="A17" t="n">
        <v>0</v>
      </c>
      <c r="B17" t="n">
        <v>2</v>
      </c>
      <c r="C17" t="n">
        <v>4</v>
      </c>
      <c r="D17" t="n">
        <v>16</v>
      </c>
      <c r="E17" t="n">
        <v>8</v>
      </c>
    </row>
    <row r="18">
      <c r="A18" t="n">
        <v>0</v>
      </c>
      <c r="B18" t="n">
        <v>3</v>
      </c>
      <c r="C18" t="n">
        <v>1</v>
      </c>
      <c r="D18" t="n">
        <v>5</v>
      </c>
      <c r="E18" t="n">
        <v>999</v>
      </c>
    </row>
    <row r="19">
      <c r="A19" t="n">
        <v>0</v>
      </c>
      <c r="B19" t="n">
        <v>3</v>
      </c>
      <c r="C19" t="n">
        <v>2</v>
      </c>
      <c r="D19" t="n">
        <v>10</v>
      </c>
      <c r="E19" t="n">
        <v>999</v>
      </c>
    </row>
    <row r="20">
      <c r="A20" t="n">
        <v>0</v>
      </c>
      <c r="B20" t="n">
        <v>3</v>
      </c>
      <c r="C20" t="n">
        <v>3</v>
      </c>
      <c r="D20" t="n">
        <v>13</v>
      </c>
      <c r="E20" t="n">
        <v>8</v>
      </c>
    </row>
    <row r="21">
      <c r="A21" t="n">
        <v>0</v>
      </c>
      <c r="B21" t="n">
        <v>3</v>
      </c>
      <c r="C21" t="n">
        <v>3</v>
      </c>
      <c r="D21" t="n">
        <v>14</v>
      </c>
      <c r="E21" t="n">
        <v>4</v>
      </c>
    </row>
    <row r="22">
      <c r="A22" t="n">
        <v>0</v>
      </c>
      <c r="B22" t="n">
        <v>3</v>
      </c>
      <c r="C22" t="n">
        <v>3</v>
      </c>
      <c r="D22" t="n">
        <v>15</v>
      </c>
      <c r="E22" t="n">
        <v>3</v>
      </c>
    </row>
    <row r="23">
      <c r="A23" t="n">
        <v>0</v>
      </c>
      <c r="B23" t="n">
        <v>3</v>
      </c>
      <c r="C23" t="n">
        <v>4</v>
      </c>
      <c r="D23" t="n">
        <v>16</v>
      </c>
      <c r="E23" t="n">
        <v>8</v>
      </c>
    </row>
    <row r="24">
      <c r="A24" t="n">
        <v>0</v>
      </c>
      <c r="B24" t="n">
        <v>4</v>
      </c>
      <c r="C24" t="n">
        <v>1</v>
      </c>
      <c r="D24" t="n">
        <v>5</v>
      </c>
      <c r="E24" t="n">
        <v>999</v>
      </c>
    </row>
    <row r="25">
      <c r="A25" t="n">
        <v>0</v>
      </c>
      <c r="B25" t="n">
        <v>4</v>
      </c>
      <c r="C25" t="n">
        <v>2</v>
      </c>
      <c r="D25" t="n">
        <v>12</v>
      </c>
      <c r="E25" t="n">
        <v>999</v>
      </c>
    </row>
    <row r="26">
      <c r="A26" t="n">
        <v>0</v>
      </c>
      <c r="B26" t="n">
        <v>4</v>
      </c>
      <c r="C26" t="n">
        <v>3</v>
      </c>
      <c r="D26" t="n">
        <v>14</v>
      </c>
      <c r="E26" t="n">
        <v>8</v>
      </c>
    </row>
    <row r="27">
      <c r="A27" t="n">
        <v>0</v>
      </c>
      <c r="B27" t="n">
        <v>4</v>
      </c>
      <c r="C27" t="n">
        <v>3</v>
      </c>
      <c r="D27" t="n">
        <v>15</v>
      </c>
      <c r="E27" t="n">
        <v>5</v>
      </c>
    </row>
    <row r="28">
      <c r="A28" t="n">
        <v>0</v>
      </c>
      <c r="B28" t="n">
        <v>4</v>
      </c>
      <c r="C28" t="n">
        <v>3</v>
      </c>
      <c r="D28" t="n">
        <v>16</v>
      </c>
      <c r="E28" t="n">
        <v>3</v>
      </c>
    </row>
    <row r="29">
      <c r="A29" t="n">
        <v>0</v>
      </c>
      <c r="B29" t="n">
        <v>4</v>
      </c>
      <c r="C29" t="n">
        <v>4</v>
      </c>
      <c r="D29" t="n">
        <v>16</v>
      </c>
      <c r="E29" t="n">
        <v>8</v>
      </c>
    </row>
    <row r="30">
      <c r="A30" t="n">
        <v>1</v>
      </c>
      <c r="B30" t="n">
        <v>3</v>
      </c>
      <c r="C30" t="n">
        <v>1</v>
      </c>
      <c r="D30" t="n">
        <v>6</v>
      </c>
      <c r="E30" t="n">
        <v>999</v>
      </c>
    </row>
    <row r="31">
      <c r="A31" t="n">
        <v>1</v>
      </c>
      <c r="B31" t="n">
        <v>3</v>
      </c>
      <c r="C31" t="n">
        <v>2</v>
      </c>
      <c r="D31" t="n">
        <v>11</v>
      </c>
      <c r="E31" t="n">
        <v>999</v>
      </c>
    </row>
    <row r="32">
      <c r="A32" t="n">
        <v>1</v>
      </c>
      <c r="B32" t="n">
        <v>3</v>
      </c>
      <c r="C32" t="n">
        <v>3</v>
      </c>
      <c r="D32" t="n">
        <v>16</v>
      </c>
      <c r="E32" t="n">
        <v>999</v>
      </c>
    </row>
    <row r="33">
      <c r="A33" t="n">
        <v>1</v>
      </c>
      <c r="B33" t="n">
        <v>4</v>
      </c>
      <c r="C33" t="n">
        <v>1</v>
      </c>
      <c r="D33" t="n">
        <v>7</v>
      </c>
      <c r="E33" t="n">
        <v>999</v>
      </c>
    </row>
    <row r="34">
      <c r="A34" t="n">
        <v>1</v>
      </c>
      <c r="B34" t="n">
        <v>4</v>
      </c>
      <c r="C34" t="n">
        <v>2</v>
      </c>
      <c r="D34" t="n">
        <v>13</v>
      </c>
      <c r="E34" t="n">
        <v>999</v>
      </c>
    </row>
    <row r="35">
      <c r="A35" t="n">
        <v>1</v>
      </c>
      <c r="B35" t="n">
        <v>4</v>
      </c>
      <c r="C35" t="n">
        <v>3</v>
      </c>
      <c r="D35" t="n">
        <v>16</v>
      </c>
      <c r="E35" t="n">
        <v>999</v>
      </c>
    </row>
    <row r="36">
      <c r="A36" t="n">
        <v>2</v>
      </c>
      <c r="B36" t="n">
        <v>4</v>
      </c>
      <c r="C36" t="n">
        <v>1</v>
      </c>
      <c r="D36" t="n">
        <v>8</v>
      </c>
      <c r="E36" t="n">
        <v>999</v>
      </c>
    </row>
    <row r="37">
      <c r="A37" t="n">
        <v>2</v>
      </c>
      <c r="B37" t="n">
        <v>4</v>
      </c>
      <c r="C37" t="n">
        <v>2</v>
      </c>
      <c r="D37" t="n">
        <v>16</v>
      </c>
      <c r="E37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Scenario</t>
        </is>
      </c>
      <c r="B1" s="9" t="inlineStr">
        <is>
          <t>x0</t>
        </is>
      </c>
      <c r="C1" s="9" t="inlineStr">
        <is>
          <t>x1</t>
        </is>
      </c>
      <c r="D1" s="9" t="inlineStr">
        <is>
          <t>x2</t>
        </is>
      </c>
      <c r="E1" s="9" t="inlineStr">
        <is>
          <t>x3</t>
        </is>
      </c>
      <c r="F1" s="9" t="inlineStr">
        <is>
          <t>totaal</t>
        </is>
      </c>
      <c r="G1" s="9" t="inlineStr">
        <is>
          <t>minLft</t>
        </is>
      </c>
      <c r="H1" s="9" t="inlineStr">
        <is>
          <t>maxLft</t>
        </is>
      </c>
      <c r="I1" s="9" t="inlineStr">
        <is>
          <t>regel#</t>
        </is>
      </c>
      <c r="J1" s="9" t="inlineStr">
        <is>
          <t>minBK</t>
        </is>
      </c>
      <c r="K1" s="9" t="inlineStr">
        <is>
          <t>ratioBK</t>
        </is>
      </c>
      <c r="L1" s="9" t="inlineStr">
        <is>
          <t>basis</t>
        </is>
      </c>
      <c r="M1" s="9" t="inlineStr">
        <is>
          <t>telwaarde</t>
        </is>
      </c>
    </row>
    <row r="2">
      <c r="A2" t="inlineStr">
        <is>
          <t>Origineel</t>
        </is>
      </c>
      <c r="B2">
        <f>Rekentool!$B$4</f>
        <v/>
      </c>
      <c r="C2">
        <f>Rekentool!$B$5</f>
        <v/>
      </c>
      <c r="D2">
        <f>Rekentool!$B$6</f>
        <v/>
      </c>
      <c r="E2">
        <f>Rekentool!$B$7</f>
        <v/>
      </c>
      <c r="F2">
        <f>B2+C2+D2+E2</f>
        <v/>
      </c>
      <c r="G2">
        <f>IF(B2&gt;0,0,IF(C2&gt;0,1,IF(D2&gt;0,2,IF(E2&gt;0,3,-1))))</f>
        <v/>
      </c>
      <c r="H2">
        <f>IF(E2&gt;0,3,IF(D2&gt;0,2,IF(C2&gt;0,1,IF(B2&gt;0,0,-1))))</f>
        <v/>
      </c>
      <c r="I2">
        <f>IFERROR(MATCH(1,(MinA=G2)*(MaxA=H2+1)*(MaxC&gt;=F2)*(MaxC0&gt;=B2),0),0)</f>
        <v/>
      </c>
      <c r="J2">
        <f>IF(I2=0,0,INDEX(MinP,I2))</f>
        <v/>
      </c>
      <c r="K2">
        <f>IF(B2&gt;0,CEILING(B2/3+(C2/5+D2/6+E2/8)/1.2,1),0)</f>
        <v/>
      </c>
      <c r="L2">
        <f>IF(OR(F2=0,I2=0),0,MAX(J2,K2))</f>
        <v/>
      </c>
      <c r="M2">
        <f>L2</f>
        <v/>
      </c>
    </row>
    <row r="3">
      <c r="A3" t="inlineStr">
        <is>
          <t>Min 1× 0-jarige</t>
        </is>
      </c>
      <c r="B3">
        <f>Rekentool!$B$4-1</f>
        <v/>
      </c>
      <c r="C3">
        <f>Rekentool!$B$5</f>
        <v/>
      </c>
      <c r="D3">
        <f>Rekentool!$B$6</f>
        <v/>
      </c>
      <c r="E3">
        <f>Rekentool!$B$7</f>
        <v/>
      </c>
      <c r="F3">
        <f>B3+C3+D3+E3</f>
        <v/>
      </c>
      <c r="G3">
        <f>IF(B3&gt;0,0,IF(C3&gt;0,1,IF(D3&gt;0,2,IF(E3&gt;0,3,-1))))</f>
        <v/>
      </c>
      <c r="H3">
        <f>IF(E3&gt;0,3,IF(D3&gt;0,2,IF(C3&gt;0,1,IF(B3&gt;0,0,-1))))</f>
        <v/>
      </c>
      <c r="I3">
        <f>IFERROR(MATCH(1,(MinA=G3)*(MaxA=H3+1)*(MaxC&gt;=F3)*(MaxC0&gt;=B3),0),0)</f>
        <v/>
      </c>
      <c r="J3">
        <f>IF(I3=0,0,INDEX(MinP,I3))</f>
        <v/>
      </c>
      <c r="K3">
        <f>IF(B3&gt;0,CEILING(B3/3+(C3/5+D3/6+E3/8)/1.2,1),0)</f>
        <v/>
      </c>
      <c r="L3">
        <f>IF(OR(F3=0,I3=0),0,MAX(J3,K3))</f>
        <v/>
      </c>
      <c r="M3">
        <f>IF(Rekentool!$B$4&gt;0,L3,0)</f>
        <v/>
      </c>
    </row>
    <row r="4">
      <c r="A4" t="inlineStr">
        <is>
          <t>Min 1× 1-jarige</t>
        </is>
      </c>
      <c r="B4">
        <f>Rekentool!$B$4</f>
        <v/>
      </c>
      <c r="C4">
        <f>Rekentool!$B$5-1</f>
        <v/>
      </c>
      <c r="D4">
        <f>Rekentool!$B$6</f>
        <v/>
      </c>
      <c r="E4">
        <f>Rekentool!$B$7</f>
        <v/>
      </c>
      <c r="F4">
        <f>B4+C4+D4+E4</f>
        <v/>
      </c>
      <c r="G4">
        <f>IF(B4&gt;0,0,IF(C4&gt;0,1,IF(D4&gt;0,2,IF(E4&gt;0,3,-1))))</f>
        <v/>
      </c>
      <c r="H4">
        <f>IF(E4&gt;0,3,IF(D4&gt;0,2,IF(C4&gt;0,1,IF(B4&gt;0,0,-1))))</f>
        <v/>
      </c>
      <c r="I4">
        <f>IFERROR(MATCH(1,(MinA=G4)*(MaxA=H4+1)*(MaxC&gt;=F4)*(MaxC0&gt;=B4),0),0)</f>
        <v/>
      </c>
      <c r="J4">
        <f>IF(I4=0,0,INDEX(MinP,I4))</f>
        <v/>
      </c>
      <c r="K4">
        <f>IF(B4&gt;0,CEILING(B4/3+(C4/5+D4/6+E4/8)/1.2,1),0)</f>
        <v/>
      </c>
      <c r="L4">
        <f>IF(OR(F4=0,I4=0),0,MAX(J4,K4))</f>
        <v/>
      </c>
      <c r="M4">
        <f>IF(Rekentool!$B$5&gt;0,L4,0)</f>
        <v/>
      </c>
    </row>
    <row r="5">
      <c r="A5" t="inlineStr">
        <is>
          <t>Min 1× 2-jarige</t>
        </is>
      </c>
      <c r="B5">
        <f>Rekentool!$B$4</f>
        <v/>
      </c>
      <c r="C5">
        <f>Rekentool!$B$5</f>
        <v/>
      </c>
      <c r="D5">
        <f>Rekentool!$B$6-1</f>
        <v/>
      </c>
      <c r="E5">
        <f>Rekentool!$B$7</f>
        <v/>
      </c>
      <c r="F5">
        <f>B5+C5+D5+E5</f>
        <v/>
      </c>
      <c r="G5">
        <f>IF(B5&gt;0,0,IF(C5&gt;0,1,IF(D5&gt;0,2,IF(E5&gt;0,3,-1))))</f>
        <v/>
      </c>
      <c r="H5">
        <f>IF(E5&gt;0,3,IF(D5&gt;0,2,IF(C5&gt;0,1,IF(B5&gt;0,0,-1))))</f>
        <v/>
      </c>
      <c r="I5">
        <f>IFERROR(MATCH(1,(MinA=G5)*(MaxA=H5+1)*(MaxC&gt;=F5)*(MaxC0&gt;=B5),0),0)</f>
        <v/>
      </c>
      <c r="J5">
        <f>IF(I5=0,0,INDEX(MinP,I5))</f>
        <v/>
      </c>
      <c r="K5">
        <f>IF(B5&gt;0,CEILING(B5/3+(C5/5+D5/6+E5/8)/1.2,1),0)</f>
        <v/>
      </c>
      <c r="L5">
        <f>IF(OR(F5=0,I5=0),0,MAX(J5,K5))</f>
        <v/>
      </c>
      <c r="M5">
        <f>IF(Rekentool!$B$6&gt;0,L5,0)</f>
        <v/>
      </c>
    </row>
    <row r="6">
      <c r="A6" t="inlineStr">
        <is>
          <t>Min 1× 3-jarige</t>
        </is>
      </c>
      <c r="B6">
        <f>Rekentool!$B$4</f>
        <v/>
      </c>
      <c r="C6">
        <f>Rekentool!$B$5</f>
        <v/>
      </c>
      <c r="D6">
        <f>Rekentool!$B$6</f>
        <v/>
      </c>
      <c r="E6">
        <f>Rekentool!$B$7-1</f>
        <v/>
      </c>
      <c r="F6">
        <f>B6+C6+D6+E6</f>
        <v/>
      </c>
      <c r="G6">
        <f>IF(B6&gt;0,0,IF(C6&gt;0,1,IF(D6&gt;0,2,IF(E6&gt;0,3,-1))))</f>
        <v/>
      </c>
      <c r="H6">
        <f>IF(E6&gt;0,3,IF(D6&gt;0,2,IF(C6&gt;0,1,IF(B6&gt;0,0,-1))))</f>
        <v/>
      </c>
      <c r="I6">
        <f>IFERROR(MATCH(1,(MinA=G6)*(MaxA=H6+1)*(MaxC&gt;=F6)*(MaxC0&gt;=B6),0),0)</f>
        <v/>
      </c>
      <c r="J6">
        <f>IF(I6=0,0,INDEX(MinP,I6))</f>
        <v/>
      </c>
      <c r="K6">
        <f>IF(B6&gt;0,CEILING(B6/3+(C6/5+D6/6+E6/8)/1.2,1),0)</f>
        <v/>
      </c>
      <c r="L6">
        <f>IF(OR(F6=0,I6=0),0,MAX(J6,K6))</f>
        <v/>
      </c>
      <c r="M6">
        <f>IF(Rekentool!$B$7&gt;0,L6,0)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2026-06-30T20:46:44Z</dcterms:created>
  <dcterms:modified xsi:type="dcterms:W3CDTF">2026-06-30T20:46:44Z</dcterms:modified>
</cp:coreProperties>
</file>